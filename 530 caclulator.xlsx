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<sst xmlns="http://schemas.openxmlformats.org/spreadsheetml/2006/main" count="48" uniqueCount="35">
  <si>
    <t>Sign</t>
  </si>
  <si>
    <t>"(1)"</t>
  </si>
  <si>
    <t>a</t>
  </si>
  <si>
    <t>b</t>
  </si>
  <si>
    <t>ab</t>
  </si>
  <si>
    <t>c</t>
  </si>
  <si>
    <t>ac</t>
  </si>
  <si>
    <t>bc</t>
  </si>
  <si>
    <t>abc</t>
  </si>
  <si>
    <t>Totals</t>
  </si>
  <si>
    <t>Contrast</t>
  </si>
  <si>
    <t>Main Effect</t>
  </si>
  <si>
    <t>SS</t>
  </si>
  <si>
    <t>Include?</t>
  </si>
  <si>
    <t>MS</t>
  </si>
  <si>
    <t>A</t>
  </si>
  <si>
    <t>B</t>
  </si>
  <si>
    <t>AB</t>
  </si>
  <si>
    <t>C</t>
  </si>
  <si>
    <t>AC</t>
  </si>
  <si>
    <t>BC</t>
  </si>
  <si>
    <t>ABC</t>
  </si>
  <si>
    <t>Treatment</t>
  </si>
  <si>
    <t>Replicate 1</t>
  </si>
  <si>
    <t>CF</t>
  </si>
  <si>
    <t>Replicate 2</t>
  </si>
  <si>
    <t>Total SS</t>
  </si>
  <si>
    <t>Replicate 3</t>
  </si>
  <si>
    <t>SSE</t>
  </si>
  <si>
    <t>Source</t>
  </si>
  <si>
    <t>df</t>
  </si>
  <si>
    <t>F*</t>
  </si>
  <si>
    <t>F critical (a=0.05</t>
  </si>
  <si>
    <t>Error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</si>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</sst>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theme="1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J1:O9" displayName="Results" name="Results" id="1">
  <tableColumns count="6">
    <tableColumn name="Totals" id="1"/>
    <tableColumn name="Contrast" id="2"/>
    <tableColumn name="Main Effect" id="3"/>
    <tableColumn name="SS" id="4"/>
    <tableColumn name="Include?" id="5"/>
    <tableColumn name="MS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0:I13" displayName="Raw_Data" name="Raw_Data" id="2">
  <tableColumns count="9">
    <tableColumn name="Treatment" id="1"/>
    <tableColumn name="&quot;(1)&quot;" id="2"/>
    <tableColumn name="a" id="3"/>
    <tableColumn name="b" id="4"/>
    <tableColumn name="ab" id="5"/>
    <tableColumn name="c" id="6"/>
    <tableColumn name="ac" id="7"/>
    <tableColumn name="bc" id="8"/>
    <tableColumn name="abc" id="9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J15:O20" displayName="ANOVA" name="ANOVA" id="3">
  <tableColumns count="6">
    <tableColumn name="Source" id="1"/>
    <tableColumn name="SS" id="2"/>
    <tableColumn name="df" id="3"/>
    <tableColumn name="MS" id="4"/>
    <tableColumn name="F*" id="5"/>
    <tableColumn name="F critical (a=0.05" id="6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12" max="12" width="14.63"/>
    <col customWidth="1" min="14" max="14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</row>
    <row r="2" ht="22.5" customHeight="1">
      <c r="A2" s="1" t="s">
        <v>15</v>
      </c>
      <c r="B2" s="5">
        <v>-1.0</v>
      </c>
      <c r="C2" s="5">
        <v>1.0</v>
      </c>
      <c r="D2" s="5">
        <v>-1.0</v>
      </c>
      <c r="E2" s="5">
        <v>1.0</v>
      </c>
      <c r="F2" s="5">
        <v>-1.0</v>
      </c>
      <c r="G2" s="5">
        <v>1.0</v>
      </c>
      <c r="H2" s="5">
        <v>-1.0</v>
      </c>
      <c r="I2" s="5">
        <v>1.0</v>
      </c>
      <c r="J2" s="6">
        <f t="array" ref="J2:J9">TRANSPOSE(B14:I14)</f>
        <v>0.3</v>
      </c>
      <c r="K2" s="6">
        <f t="array" ref="K2:K8">MMULT(B2:I8,J2:J9)</f>
        <v>0.35</v>
      </c>
      <c r="L2" s="6">
        <f t="shared" ref="L2:L8" si="1">K2/12</f>
        <v>0.02916666667</v>
      </c>
      <c r="M2" s="6">
        <f t="shared" ref="M2:M8" si="2">(K2^2)/24</f>
        <v>0.005104166667</v>
      </c>
      <c r="N2" s="7"/>
      <c r="O2" s="8"/>
    </row>
    <row r="3" ht="22.5" customHeight="1">
      <c r="A3" s="1" t="s">
        <v>16</v>
      </c>
      <c r="B3" s="5">
        <v>-1.0</v>
      </c>
      <c r="C3" s="5">
        <v>-1.0</v>
      </c>
      <c r="D3" s="5">
        <v>1.0</v>
      </c>
      <c r="E3" s="5">
        <v>1.0</v>
      </c>
      <c r="F3" s="5">
        <v>-1.0</v>
      </c>
      <c r="G3" s="5">
        <v>-1.0</v>
      </c>
      <c r="H3" s="5">
        <v>1.0</v>
      </c>
      <c r="I3" s="5">
        <v>1.0</v>
      </c>
      <c r="J3" s="6">
        <v>0.75</v>
      </c>
      <c r="K3" s="6">
        <v>2.05</v>
      </c>
      <c r="L3" s="6">
        <f t="shared" si="1"/>
        <v>0.1708333333</v>
      </c>
      <c r="M3" s="6">
        <f t="shared" si="2"/>
        <v>0.1751041667</v>
      </c>
      <c r="N3" s="9" t="b">
        <v>1</v>
      </c>
      <c r="O3" s="10"/>
    </row>
    <row r="4" ht="22.5" customHeight="1">
      <c r="A4" s="1" t="s">
        <v>17</v>
      </c>
      <c r="B4" s="5">
        <v>1.0</v>
      </c>
      <c r="C4" s="5">
        <v>-1.0</v>
      </c>
      <c r="D4" s="5">
        <v>-1.0</v>
      </c>
      <c r="E4" s="5">
        <v>1.0</v>
      </c>
      <c r="F4" s="5">
        <v>1.0</v>
      </c>
      <c r="G4" s="5">
        <v>-1.0</v>
      </c>
      <c r="H4" s="5">
        <v>-1.0</v>
      </c>
      <c r="I4" s="5">
        <v>1.0</v>
      </c>
      <c r="J4" s="6">
        <v>1.0499999999999998</v>
      </c>
      <c r="K4" s="6">
        <v>-0.04999999999999938</v>
      </c>
      <c r="L4" s="6">
        <f t="shared" si="1"/>
        <v>-0.004166666667</v>
      </c>
      <c r="M4" s="6">
        <f t="shared" si="2"/>
        <v>0.0001041666667</v>
      </c>
      <c r="N4" s="7"/>
      <c r="O4" s="8"/>
    </row>
    <row r="5" ht="22.5" customHeight="1">
      <c r="A5" s="1" t="s">
        <v>18</v>
      </c>
      <c r="B5" s="5">
        <v>-1.0</v>
      </c>
      <c r="C5" s="5">
        <v>-1.0</v>
      </c>
      <c r="D5" s="5">
        <v>-1.0</v>
      </c>
      <c r="E5" s="5">
        <v>-1.0</v>
      </c>
      <c r="F5" s="5">
        <v>1.0</v>
      </c>
      <c r="G5" s="5">
        <v>1.0</v>
      </c>
      <c r="H5" s="5">
        <v>1.0</v>
      </c>
      <c r="I5" s="5">
        <v>1.0</v>
      </c>
      <c r="J5" s="6">
        <v>1.1</v>
      </c>
      <c r="K5" s="6">
        <v>0.050000000000000266</v>
      </c>
      <c r="L5" s="6">
        <f t="shared" si="1"/>
        <v>0.004166666667</v>
      </c>
      <c r="M5" s="6">
        <f t="shared" si="2"/>
        <v>0.0001041666667</v>
      </c>
      <c r="N5" s="7"/>
      <c r="O5" s="8"/>
    </row>
    <row r="6" ht="22.5" customHeight="1">
      <c r="A6" s="1" t="s">
        <v>19</v>
      </c>
      <c r="B6" s="5">
        <v>1.0</v>
      </c>
      <c r="C6" s="5">
        <v>-1.0</v>
      </c>
      <c r="D6" s="5">
        <v>1.0</v>
      </c>
      <c r="E6" s="5">
        <v>-1.0</v>
      </c>
      <c r="F6" s="5">
        <v>-1.0</v>
      </c>
      <c r="G6" s="5">
        <v>1.0</v>
      </c>
      <c r="H6" s="5">
        <v>-1.0</v>
      </c>
      <c r="I6" s="5">
        <v>1.0</v>
      </c>
      <c r="J6" s="6">
        <v>0.7000000000000001</v>
      </c>
      <c r="K6" s="6">
        <v>-0.6499999999999999</v>
      </c>
      <c r="L6" s="6">
        <f t="shared" si="1"/>
        <v>-0.05416666667</v>
      </c>
      <c r="M6" s="6">
        <f t="shared" si="2"/>
        <v>0.01760416667</v>
      </c>
      <c r="N6" s="9" t="b">
        <v>1</v>
      </c>
      <c r="O6" s="10"/>
    </row>
    <row r="7" ht="22.5" customHeight="1">
      <c r="A7" s="1" t="s">
        <v>20</v>
      </c>
      <c r="B7" s="5">
        <v>1.0</v>
      </c>
      <c r="C7" s="5">
        <v>1.0</v>
      </c>
      <c r="D7" s="5">
        <v>-1.0</v>
      </c>
      <c r="E7" s="5">
        <v>-1.0</v>
      </c>
      <c r="F7" s="5">
        <v>-1.0</v>
      </c>
      <c r="G7" s="5">
        <v>-1.0</v>
      </c>
      <c r="H7" s="5">
        <v>1.0</v>
      </c>
      <c r="I7" s="5">
        <v>1.0</v>
      </c>
      <c r="J7" s="6">
        <v>0.44999999999999996</v>
      </c>
      <c r="K7" s="6">
        <v>-0.1499999999999999</v>
      </c>
      <c r="L7" s="6">
        <f t="shared" si="1"/>
        <v>-0.0125</v>
      </c>
      <c r="M7" s="6">
        <f t="shared" si="2"/>
        <v>0.0009375</v>
      </c>
      <c r="N7" s="7"/>
      <c r="O7" s="8"/>
    </row>
    <row r="8" ht="22.5" customHeight="1">
      <c r="A8" s="1" t="s">
        <v>21</v>
      </c>
      <c r="B8" s="5">
        <v>-1.0</v>
      </c>
      <c r="C8" s="5">
        <v>1.0</v>
      </c>
      <c r="D8" s="5">
        <v>1.0</v>
      </c>
      <c r="E8" s="5">
        <v>-1.0</v>
      </c>
      <c r="F8" s="5">
        <v>1.0</v>
      </c>
      <c r="G8" s="5">
        <v>-1.0</v>
      </c>
      <c r="H8" s="5">
        <v>-1.0</v>
      </c>
      <c r="I8" s="5">
        <v>1.0</v>
      </c>
      <c r="J8" s="6">
        <v>0.9999999999999999</v>
      </c>
      <c r="K8" s="6">
        <v>0.7499999999999999</v>
      </c>
      <c r="L8" s="6">
        <f t="shared" si="1"/>
        <v>0.0625</v>
      </c>
      <c r="M8" s="6">
        <f t="shared" si="2"/>
        <v>0.0234375</v>
      </c>
      <c r="N8" s="9" t="b">
        <v>1</v>
      </c>
      <c r="O8" s="10"/>
    </row>
    <row r="9" ht="22.5" customHeight="1">
      <c r="A9" s="11"/>
      <c r="B9" s="11"/>
      <c r="C9" s="11"/>
      <c r="D9" s="11"/>
      <c r="E9" s="11"/>
      <c r="F9" s="11"/>
      <c r="G9" s="11"/>
      <c r="H9" s="11"/>
      <c r="I9" s="11"/>
      <c r="J9" s="12">
        <v>1.1</v>
      </c>
      <c r="K9" s="12"/>
      <c r="L9" s="6"/>
      <c r="M9" s="12"/>
      <c r="N9" s="7"/>
      <c r="O9" s="8"/>
    </row>
    <row r="10" ht="22.5" customHeight="1">
      <c r="A10" s="2" t="s">
        <v>22</v>
      </c>
      <c r="B10" s="13" t="s">
        <v>1</v>
      </c>
      <c r="C10" s="13" t="s">
        <v>2</v>
      </c>
      <c r="D10" s="13" t="s">
        <v>3</v>
      </c>
      <c r="E10" s="13" t="s">
        <v>4</v>
      </c>
      <c r="F10" s="13" t="s">
        <v>5</v>
      </c>
      <c r="G10" s="13" t="s">
        <v>6</v>
      </c>
      <c r="H10" s="13" t="s">
        <v>7</v>
      </c>
      <c r="I10" s="13" t="s">
        <v>8</v>
      </c>
      <c r="J10" s="14"/>
      <c r="K10" s="14"/>
      <c r="L10" s="14"/>
      <c r="M10" s="5"/>
    </row>
    <row r="11" ht="22.5" customHeight="1">
      <c r="A11" s="15" t="s">
        <v>23</v>
      </c>
      <c r="B11" s="6">
        <v>0.15</v>
      </c>
      <c r="C11" s="6">
        <v>0.2</v>
      </c>
      <c r="D11" s="6">
        <v>0.3</v>
      </c>
      <c r="E11" s="6">
        <v>0.35</v>
      </c>
      <c r="F11" s="6">
        <v>0.55</v>
      </c>
      <c r="G11" s="6">
        <v>0.25</v>
      </c>
      <c r="H11" s="6">
        <v>0.35</v>
      </c>
      <c r="I11" s="6">
        <v>0.4</v>
      </c>
      <c r="J11" s="5"/>
      <c r="K11" s="16" t="s">
        <v>24</v>
      </c>
      <c r="L11" s="16">
        <f>(SUM(B11:I13))^2/24</f>
        <v>1.7334375</v>
      </c>
      <c r="M11" s="14"/>
    </row>
    <row r="12" ht="22.5" customHeight="1">
      <c r="A12" s="15" t="s">
        <v>25</v>
      </c>
      <c r="B12" s="17">
        <v>0.1</v>
      </c>
      <c r="C12" s="18">
        <f>6/20</f>
        <v>0.3</v>
      </c>
      <c r="D12" s="18">
        <f t="shared" ref="D12:E12" si="3">7/20</f>
        <v>0.35</v>
      </c>
      <c r="E12" s="18">
        <f t="shared" si="3"/>
        <v>0.35</v>
      </c>
      <c r="F12" s="18">
        <f t="shared" ref="F12:G12" si="4">1/20</f>
        <v>0.05</v>
      </c>
      <c r="G12" s="18">
        <f t="shared" si="4"/>
        <v>0.05</v>
      </c>
      <c r="H12" s="18">
        <f t="shared" ref="H12:I12" si="5">6/20</f>
        <v>0.3</v>
      </c>
      <c r="I12" s="18">
        <f t="shared" si="5"/>
        <v>0.3</v>
      </c>
      <c r="K12" s="19" t="s">
        <v>26</v>
      </c>
      <c r="L12" s="20">
        <f>(SUMSQ(B11:I13))-L11</f>
        <v>0.4190625</v>
      </c>
    </row>
    <row r="13" ht="22.5" customHeight="1">
      <c r="A13" s="15" t="s">
        <v>27</v>
      </c>
      <c r="B13" s="18">
        <f>1/20</f>
        <v>0.05</v>
      </c>
      <c r="C13" s="18">
        <f>5/20</f>
        <v>0.25</v>
      </c>
      <c r="D13" s="18">
        <f t="shared" ref="D13:E13" si="6">8/20</f>
        <v>0.4</v>
      </c>
      <c r="E13" s="18">
        <f t="shared" si="6"/>
        <v>0.4</v>
      </c>
      <c r="F13" s="17">
        <v>0.1</v>
      </c>
      <c r="G13" s="18">
        <f>3/20</f>
        <v>0.15</v>
      </c>
      <c r="H13" s="18">
        <f>7/20</f>
        <v>0.35</v>
      </c>
      <c r="I13" s="18">
        <f>8/20</f>
        <v>0.4</v>
      </c>
      <c r="K13" s="19" t="s">
        <v>28</v>
      </c>
      <c r="L13" s="20">
        <f>L12-(SUM(M3,M6,M8))</f>
        <v>0.2029166667</v>
      </c>
    </row>
    <row r="14">
      <c r="B14" s="19">
        <f t="shared" ref="B14:I14" si="7">SUM(B11:B13)</f>
        <v>0.3</v>
      </c>
      <c r="C14" s="19">
        <f t="shared" si="7"/>
        <v>0.75</v>
      </c>
      <c r="D14" s="19">
        <f t="shared" si="7"/>
        <v>1.05</v>
      </c>
      <c r="E14" s="19">
        <f t="shared" si="7"/>
        <v>1.1</v>
      </c>
      <c r="F14" s="19">
        <f t="shared" si="7"/>
        <v>0.7</v>
      </c>
      <c r="G14" s="19">
        <f t="shared" si="7"/>
        <v>0.45</v>
      </c>
      <c r="H14" s="19">
        <f t="shared" si="7"/>
        <v>1</v>
      </c>
      <c r="I14" s="19">
        <f t="shared" si="7"/>
        <v>1.1</v>
      </c>
    </row>
    <row r="15" ht="22.5" customHeight="1">
      <c r="J15" s="21" t="s">
        <v>29</v>
      </c>
      <c r="K15" s="21" t="s">
        <v>12</v>
      </c>
      <c r="L15" s="21" t="s">
        <v>30</v>
      </c>
      <c r="M15" s="21" t="s">
        <v>14</v>
      </c>
      <c r="N15" s="21" t="s">
        <v>31</v>
      </c>
      <c r="O15" s="22" t="s">
        <v>32</v>
      </c>
    </row>
    <row r="16" ht="22.5" customHeight="1">
      <c r="J16" s="17" t="s">
        <v>16</v>
      </c>
      <c r="K16" s="18">
        <f>M3</f>
        <v>0.1751041667</v>
      </c>
      <c r="L16" s="17">
        <v>1.0</v>
      </c>
      <c r="M16" s="18">
        <f t="shared" ref="M16:M19" si="8">K16/L16</f>
        <v>0.1751041667</v>
      </c>
      <c r="N16" s="18">
        <f>M16/M19</f>
        <v>17.2587269</v>
      </c>
      <c r="O16" s="8">
        <f>FDIST(0.05,1,20)</f>
        <v>0.8253314731</v>
      </c>
    </row>
    <row r="17" ht="22.5" customHeight="1">
      <c r="J17" s="17" t="s">
        <v>19</v>
      </c>
      <c r="K17" s="18">
        <f>M6</f>
        <v>0.01760416667</v>
      </c>
      <c r="L17" s="17">
        <v>1.0</v>
      </c>
      <c r="M17" s="18">
        <f t="shared" si="8"/>
        <v>0.01760416667</v>
      </c>
      <c r="N17" s="18">
        <f>M17/M19</f>
        <v>1.735112936</v>
      </c>
      <c r="O17" s="8">
        <f t="shared" ref="O17:O18" si="9">FDIST(0.05,1,16)</f>
        <v>0.8258933124</v>
      </c>
    </row>
    <row r="18" ht="22.5" customHeight="1">
      <c r="J18" s="17" t="s">
        <v>21</v>
      </c>
      <c r="K18" s="18">
        <f>M8</f>
        <v>0.0234375</v>
      </c>
      <c r="L18" s="17">
        <v>1.0</v>
      </c>
      <c r="M18" s="18">
        <f t="shared" si="8"/>
        <v>0.0234375</v>
      </c>
      <c r="N18" s="18">
        <f>M18/M19</f>
        <v>2.310061602</v>
      </c>
      <c r="O18" s="8">
        <f t="shared" si="9"/>
        <v>0.8258933124</v>
      </c>
    </row>
    <row r="19" ht="22.5" customHeight="1">
      <c r="J19" s="17" t="s">
        <v>33</v>
      </c>
      <c r="K19" s="18">
        <f>L13</f>
        <v>0.2029166667</v>
      </c>
      <c r="L19" s="17">
        <v>20.0</v>
      </c>
      <c r="M19" s="18">
        <f t="shared" si="8"/>
        <v>0.01014583333</v>
      </c>
      <c r="O19" s="8"/>
    </row>
    <row r="20" ht="22.5" customHeight="1">
      <c r="J20" s="17" t="s">
        <v>34</v>
      </c>
      <c r="K20" s="18">
        <f>L12</f>
        <v>0.4190625</v>
      </c>
      <c r="L20" s="17">
        <v>23.0</v>
      </c>
      <c r="O20" s="8"/>
    </row>
  </sheetData>
  <drawing r:id="rId1"/>
  <tableParts count="3">
    <tablePart r:id="rId5"/>
    <tablePart r:id="rId6"/>
    <tablePart r:id="rId7"/>
  </tableParts>
</worksheet>
</file>